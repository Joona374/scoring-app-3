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me_Template" sheetId="1" state="visible" r:id="rId3"/>
    <sheet name="YHTEENSÄ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<sst xmlns="http://schemas.openxmlformats.org/spreadsheetml/2006/main" count="224" uniqueCount="57">
  <si>
    <t xml:space="preserve">PVM:</t>
  </si>
  <si>
    <t xml:space="preserve">Vastustaja:</t>
  </si>
  <si>
    <t xml:space="preserve">Tulos (Pelicans – Vastustaja):</t>
  </si>
  <si>
    <t xml:space="preserve">YV Kerrat:</t>
  </si>
  <si>
    <t xml:space="preserve">AV Kerrat:</t>
  </si>
  <si>
    <t xml:space="preserve">Koti/Vieras:</t>
  </si>
  <si>
    <t xml:space="preserve">MISTÄ?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</si>
  <si>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</si>
  <si>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</si>
  <si>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</si>
  <si>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</si>
  <si>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</si>
  <si>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</si>
  <si>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</si>
  <si>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</si>
  <si>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</si>
  <si>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</si>
  <si>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+ / -</t>
  </si>
  <si>
    <t xml:space="preserve">+</t>
  </si>
  <si>
    <t xml:space="preserve">-</t>
  </si>
  <si>
    <t xml:space="preserve">Paikat yht</t>
  </si>
  <si>
    <t xml:space="preserve">Maalit</t>
  </si>
  <si>
    <t xml:space="preserve">Tehokkuus</t>
  </si>
  <si>
    <t xml:space="preserve">MITEN?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</si>
  <si>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</si>
  <si>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</si>
  <si>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</si>
  <si>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</si>
  <si>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</si>
  <si>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</si>
  <si>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</si>
  <si>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</si>
  <si>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</si>
  <si>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</si>
  <si>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</si>
  <si>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MIHIN?</t>
  </si>
  <si>
    <t xml:space="preserve">Maalit +</t>
  </si>
  <si>
    <t xml:space="preserve">Paikat yht +</t>
  </si>
  <si>
    <t xml:space="preserve">Tehokkuus %</t>
  </si>
  <si>
    <t xml:space="preserve">Pelicans</t>
  </si>
  <si>
    <t xml:space="preserve">YHTEENSÄ +</t>
  </si>
  <si>
    <t xml:space="preserve">MAALIT</t>
  </si>
  <si>
    <t xml:space="preserve">PAIKAT YHT</t>
  </si>
  <si>
    <t xml:space="preserve">TEHOKKUUS %</t>
  </si>
  <si>
    <t xml:space="preserve">Maalit -</t>
  </si>
  <si>
    <t xml:space="preserve">Paikat yht -</t>
  </si>
  <si>
    <t xml:space="preserve">Vastustaja</t>
  </si>
  <si>
    <t xml:space="preserve">YHTEENSÄ -</t>
  </si>
  <si>
    <t xml:space="preserve">MILLOIN?</t>
  </si>
  <si>
    <t xml:space="preserve">Tilanne</t>
  </si>
  <si>
    <t xml:space="preserve">5 on 5</t>
  </si>
  <si>
    <t xml:space="preserve">PP</t>
  </si>
  <si>
    <t xml:space="preserve">PK</t>
  </si>
  <si>
    <t xml:space="preserve">6 on 5</t>
  </si>
  <si>
    <t xml:space="preserve">5 on 6</t>
  </si>
  <si>
    <t xml:space="preserve">YV / AV Tilaisuudet</t>
  </si>
  <si>
    <t xml:space="preserve">YV / AV 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</si>
</sst>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\ %"/>
    <numFmt numFmtId="167" formatCode="0%"/>
    <numFmt numFmtId="168" formatCode="0.0%"/>
    <numFmt numFmtId="169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2" borderId="0" xfId="19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false" showOutlineSymbols="true" defaultGridColor="true" view="normal" topLeftCell="E33" colorId="64" zoomScale="100" zoomScaleNormal="100" zoomScalePageLayoutView="100" workbookViewId="0">
      <selection pane="topLeft" activeCell="U26" activeCellId="0" sqref="U26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2" t="s">
        <v>0</v>
      </c>
      <c r="C1" s="3"/>
      <c r="D1" s="3"/>
      <c r="E1" s="3"/>
      <c r="F1" s="4" t="s">
        <v>1</v>
      </c>
      <c r="G1" s="5"/>
      <c r="H1" s="5"/>
      <c r="I1" s="5"/>
      <c r="J1" s="6" t="s">
        <v>2</v>
      </c>
      <c r="K1" s="6"/>
      <c r="L1" s="6"/>
      <c r="M1" s="5"/>
      <c r="N1" s="5"/>
      <c r="O1" s="2" t="s">
        <v>3</v>
      </c>
      <c r="P1" s="7"/>
      <c r="Q1" s="8" t="s">
        <v>4</v>
      </c>
      <c r="R1" s="9"/>
      <c r="S1" s="2" t="s">
        <v>5</v>
      </c>
      <c r="T1" s="3"/>
      <c r="U1" s="10"/>
      <c r="V1" s="11"/>
      <c r="W1" s="11"/>
      <c r="X1" s="11"/>
      <c r="Y1" s="11"/>
      <c r="Z1" s="11"/>
      <c r="AA1" s="11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0</v>
      </c>
      <c r="D19" s="55" t="n">
        <v>0</v>
      </c>
      <c r="E19" s="56" t="n">
        <v>0</v>
      </c>
      <c r="F19" s="57"/>
      <c r="G19" s="58"/>
      <c r="H19" s="54" t="n">
        <v>0</v>
      </c>
      <c r="I19" s="55" t="n">
        <v>0</v>
      </c>
      <c r="J19" s="56" t="n">
        <v>0</v>
      </c>
      <c r="K19" s="59"/>
      <c r="L19" s="58"/>
      <c r="M19" s="60" t="n">
        <f aca="false">IFERROR(C19 / H19,0)</f>
        <v>0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1" t="s">
        <v>49</v>
      </c>
      <c r="B33" s="82" t="s">
        <v>50</v>
      </c>
      <c r="C33" s="82"/>
      <c r="D33" s="83" t="s">
        <v>51</v>
      </c>
      <c r="E33" s="83"/>
      <c r="F33" s="83" t="s">
        <v>52</v>
      </c>
      <c r="G33" s="83"/>
      <c r="H33" s="84" t="s">
        <v>53</v>
      </c>
      <c r="I33" s="84"/>
      <c r="J33" s="85" t="s">
        <v>54</v>
      </c>
      <c r="K33" s="85"/>
      <c r="L33" s="8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6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80"/>
    </row>
    <row r="35" customFormat="false" ht="14.25" hidden="false" customHeight="true" outlineLevel="0" collapsed="false">
      <c r="A35" s="86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8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6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80"/>
      <c r="O36" s="41"/>
      <c r="P36" s="41"/>
      <c r="Q36" s="41"/>
      <c r="R36" s="87"/>
    </row>
    <row r="37" customFormat="false" ht="15" hidden="false" customHeight="true" outlineLevel="0" collapsed="false">
      <c r="A37" s="88" t="s">
        <v>22</v>
      </c>
      <c r="B37" s="89" t="n">
        <f aca="false">IFERROR(B36 / B35,0)</f>
        <v>0</v>
      </c>
      <c r="C37" s="90" t="n">
        <f aca="false">IFERROR(C36 / C35,0)</f>
        <v>0</v>
      </c>
      <c r="D37" s="89" t="n">
        <f aca="false">IFERROR(D36 / D35,0)</f>
        <v>0</v>
      </c>
      <c r="E37" s="91" t="n">
        <f aca="false">IFERROR(E36 / E35,0)</f>
        <v>0</v>
      </c>
      <c r="F37" s="90" t="n">
        <f aca="false">IFERROR(F36 / F35,0)</f>
        <v>0</v>
      </c>
      <c r="G37" s="90" t="n">
        <f aca="false">IFERROR(G36 / G35,0)</f>
        <v>0</v>
      </c>
      <c r="H37" s="89" t="n">
        <f aca="false">IFERROR(H36 / H35,0)</f>
        <v>0</v>
      </c>
      <c r="I37" s="91" t="n">
        <f aca="false">IFERROR(I36 / I35,0)</f>
        <v>0</v>
      </c>
      <c r="J37" s="90" t="n">
        <f aca="false">IFERROR(J36 / J35,0)</f>
        <v>0</v>
      </c>
      <c r="K37" s="91" t="n">
        <f aca="false">IFERROR(K36 / K35,0)</f>
        <v>0</v>
      </c>
      <c r="L37" s="8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1" t="s">
        <v>55</v>
      </c>
      <c r="B38" s="14"/>
      <c r="C38" s="14"/>
      <c r="D38" s="92" t="str">
        <f aca="false">O1</f>
        <v>YV Kerrat:</v>
      </c>
      <c r="E38" s="14"/>
      <c r="F38" s="14"/>
      <c r="G38" s="92" t="str">
        <f aca="false">Q1</f>
        <v>AV Kerrat:</v>
      </c>
      <c r="H38" s="14"/>
      <c r="I38" s="14"/>
      <c r="J38" s="14"/>
      <c r="K38" s="14"/>
      <c r="L38" s="8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8" t="s">
        <v>56</v>
      </c>
      <c r="B39" s="14"/>
      <c r="C39" s="14"/>
      <c r="D39" s="93" t="n">
        <f aca="false">IFERROR(D35 / D38,0)</f>
        <v>0</v>
      </c>
      <c r="E39" s="14"/>
      <c r="F39" s="14"/>
      <c r="G39" s="93" t="n">
        <f aca="false">IFERROR(G35 / G38,0)</f>
        <v>0</v>
      </c>
      <c r="H39" s="13"/>
      <c r="I39" s="94"/>
      <c r="J39" s="94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19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6" t="str">
        <f aca="false">IFERROR(C66 / D66, "")</f>
        <v/>
      </c>
      <c r="F66" s="19"/>
      <c r="G66" s="19"/>
      <c r="I66" s="19"/>
      <c r="J66" s="19"/>
      <c r="K66" s="96" t="str">
        <f aca="false">IFERROR(I66 / J66, "")</f>
        <v/>
      </c>
      <c r="L66" s="19"/>
      <c r="M66" s="19"/>
      <c r="O66" s="19"/>
      <c r="P66" s="19"/>
      <c r="Q66" s="96" t="str">
        <f aca="false">IFERROR(O66 / P66, "")</f>
        <v/>
      </c>
      <c r="R66" s="19"/>
      <c r="S66" s="19"/>
      <c r="U66" s="19"/>
      <c r="V66" s="19"/>
      <c r="W66" s="96" t="str">
        <f aca="false">IFERROR(U66 / V66, "")</f>
        <v/>
      </c>
      <c r="X66" s="19"/>
      <c r="Z66" s="19"/>
      <c r="AA66" s="19"/>
      <c r="AB66" s="96" t="str">
        <f aca="false">IFERROR(Z66 / AA66, "")</f>
        <v/>
      </c>
      <c r="AC66" s="19"/>
      <c r="AE66" s="19"/>
      <c r="AF66" s="19"/>
      <c r="AG66" s="96" t="str">
        <f aca="false">IFERROR(AE66 / AF66, "")</f>
        <v/>
      </c>
      <c r="AH66" s="19"/>
      <c r="AJ66" s="19"/>
      <c r="AK66" s="19"/>
      <c r="AL66" s="96" t="str">
        <f aca="false">IFERROR(AJ66 / AK66, "")</f>
        <v/>
      </c>
      <c r="AM66" s="19"/>
      <c r="AO66" s="19"/>
      <c r="AP66" s="19"/>
      <c r="AQ66" s="96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6">
    <mergeCell ref="C1:E1"/>
    <mergeCell ref="G1:I1"/>
    <mergeCell ref="J1:L1"/>
    <mergeCell ref="M1:N1"/>
    <mergeCell ref="V1:AA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true" showOutlineSymbols="true" defaultGridColor="true" view="normal" topLeftCell="A14" colorId="64" zoomScale="100" zoomScaleNormal="100" zoomScalePageLayoutView="100" workbookViewId="0">
      <selection pane="topLeft" activeCell="C32" activeCellId="0" sqref="C32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18"/>
      <c r="C1" s="14"/>
      <c r="D1" s="14"/>
      <c r="E1" s="14"/>
      <c r="F1" s="15"/>
      <c r="G1" s="97"/>
      <c r="H1" s="97"/>
      <c r="I1" s="97"/>
      <c r="J1" s="42"/>
      <c r="K1" s="42"/>
      <c r="L1" s="42"/>
      <c r="M1" s="97"/>
      <c r="N1" s="97"/>
      <c r="O1" s="18"/>
      <c r="P1" s="19"/>
      <c r="Q1" s="18"/>
      <c r="R1" s="19"/>
      <c r="S1" s="18"/>
      <c r="T1" s="19"/>
      <c r="U1" s="19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1</v>
      </c>
      <c r="D19" s="55" t="n">
        <v>0</v>
      </c>
      <c r="E19" s="56" t="n">
        <v>0</v>
      </c>
      <c r="F19" s="57"/>
      <c r="G19" s="58"/>
      <c r="H19" s="54" t="n">
        <v>3</v>
      </c>
      <c r="I19" s="55" t="n">
        <v>0</v>
      </c>
      <c r="J19" s="56" t="n">
        <v>0</v>
      </c>
      <c r="K19" s="59"/>
      <c r="L19" s="58"/>
      <c r="M19" s="60" t="n">
        <f aca="false">IFERROR(C19 / H19,0)</f>
        <v>0.333333333333333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1" t="s">
        <v>49</v>
      </c>
      <c r="B33" s="82" t="s">
        <v>50</v>
      </c>
      <c r="C33" s="82"/>
      <c r="D33" s="83" t="s">
        <v>51</v>
      </c>
      <c r="E33" s="83"/>
      <c r="F33" s="83" t="s">
        <v>52</v>
      </c>
      <c r="G33" s="83"/>
      <c r="H33" s="84" t="s">
        <v>53</v>
      </c>
      <c r="I33" s="84"/>
      <c r="J33" s="85" t="s">
        <v>54</v>
      </c>
      <c r="K33" s="85"/>
      <c r="L33" s="8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6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80"/>
    </row>
    <row r="35" customFormat="false" ht="14.25" hidden="false" customHeight="true" outlineLevel="0" collapsed="false">
      <c r="A35" s="86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8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6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80"/>
      <c r="O36" s="41"/>
      <c r="P36" s="41"/>
      <c r="Q36" s="41"/>
      <c r="R36" s="87"/>
    </row>
    <row r="37" customFormat="false" ht="15" hidden="false" customHeight="true" outlineLevel="0" collapsed="false">
      <c r="A37" s="88" t="s">
        <v>22</v>
      </c>
      <c r="B37" s="89" t="n">
        <f aca="false">IFERROR(B36 / B35,0)</f>
        <v>0</v>
      </c>
      <c r="C37" s="90" t="n">
        <f aca="false">IFERROR(C36 / C35,0)</f>
        <v>0</v>
      </c>
      <c r="D37" s="89" t="n">
        <f aca="false">IFERROR(D36 / D35,0)</f>
        <v>0</v>
      </c>
      <c r="E37" s="91" t="n">
        <f aca="false">IFERROR(E36 / E35,0)</f>
        <v>0</v>
      </c>
      <c r="F37" s="90" t="n">
        <f aca="false">IFERROR(F36 / F35,0)</f>
        <v>0</v>
      </c>
      <c r="G37" s="90" t="n">
        <f aca="false">IFERROR(G36 / G35,0)</f>
        <v>0</v>
      </c>
      <c r="H37" s="89" t="n">
        <f aca="false">IFERROR(H36 / H35,0)</f>
        <v>0</v>
      </c>
      <c r="I37" s="91" t="n">
        <f aca="false">IFERROR(I36 / I35,0)</f>
        <v>0</v>
      </c>
      <c r="J37" s="90" t="n">
        <f aca="false">IFERROR(J36 / J35,0)</f>
        <v>0</v>
      </c>
      <c r="K37" s="91" t="n">
        <f aca="false">IFERROR(K36 / K35,0)</f>
        <v>0</v>
      </c>
      <c r="L37" s="8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1" t="s">
        <v>55</v>
      </c>
      <c r="B38" s="14"/>
      <c r="C38" s="14"/>
      <c r="D38" s="92" t="n">
        <f aca="false">O1</f>
        <v>0</v>
      </c>
      <c r="E38" s="14"/>
      <c r="F38" s="14"/>
      <c r="G38" s="92" t="n">
        <f aca="false">Q1</f>
        <v>0</v>
      </c>
      <c r="H38" s="14"/>
      <c r="I38" s="14"/>
      <c r="J38" s="14"/>
      <c r="K38" s="14"/>
      <c r="L38" s="8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8" t="s">
        <v>56</v>
      </c>
      <c r="B39" s="14"/>
      <c r="C39" s="14"/>
      <c r="D39" s="93" t="n">
        <f aca="false">IFERROR(D35 / D38,0)</f>
        <v>0</v>
      </c>
      <c r="E39" s="14"/>
      <c r="F39" s="14"/>
      <c r="G39" s="93" t="n">
        <f aca="false">IFERROR(G35 / G38,0)</f>
        <v>0</v>
      </c>
      <c r="H39" s="13"/>
      <c r="I39" s="94"/>
      <c r="J39" s="94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19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6" t="str">
        <f aca="false">IFERROR(C66 / D66, "")</f>
        <v/>
      </c>
      <c r="F66" s="19"/>
      <c r="G66" s="19"/>
      <c r="I66" s="19"/>
      <c r="J66" s="19"/>
      <c r="K66" s="96" t="str">
        <f aca="false">IFERROR(I66 / J66, "")</f>
        <v/>
      </c>
      <c r="L66" s="19"/>
      <c r="M66" s="19"/>
      <c r="O66" s="19"/>
      <c r="P66" s="19"/>
      <c r="Q66" s="96" t="str">
        <f aca="false">IFERROR(O66 / P66, "")</f>
        <v/>
      </c>
      <c r="R66" s="19"/>
      <c r="S66" s="19"/>
      <c r="U66" s="19"/>
      <c r="V66" s="19"/>
      <c r="W66" s="96" t="str">
        <f aca="false">IFERROR(U66 / V66, "")</f>
        <v/>
      </c>
      <c r="X66" s="19"/>
      <c r="Z66" s="19"/>
      <c r="AA66" s="19"/>
      <c r="AB66" s="96" t="str">
        <f aca="false">IFERROR(Z66 / AA66, "")</f>
        <v/>
      </c>
      <c r="AC66" s="19"/>
      <c r="AE66" s="19"/>
      <c r="AF66" s="19"/>
      <c r="AG66" s="96" t="str">
        <f aca="false">IFERROR(AE66 / AF66, "")</f>
        <v/>
      </c>
      <c r="AH66" s="19"/>
      <c r="AJ66" s="19"/>
      <c r="AK66" s="19"/>
      <c r="AL66" s="96" t="str">
        <f aca="false">IFERROR(AJ66 / AK66, "")</f>
        <v/>
      </c>
      <c r="AM66" s="19"/>
      <c r="AO66" s="19"/>
      <c r="AP66" s="19"/>
      <c r="AQ66" s="96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5">
    <mergeCell ref="C1:E1"/>
    <mergeCell ref="G1:I1"/>
    <mergeCell ref="J1:L1"/>
    <mergeCell ref="M1:N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2025-07-31T13:54:10Z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