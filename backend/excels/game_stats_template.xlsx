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ame_Template" sheetId="1" state="visible" r:id="rId3"/>
    <sheet name="YHTEENSÄ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<sst xmlns="http://schemas.openxmlformats.org/spreadsheetml/2006/main" count="238" uniqueCount="60">
  <si>
    <t xml:space="preserve">PVM:</t>
  </si>
  <si>
    <t xml:space="preserve">Vastustaja:</t>
  </si>
  <si>
    <t xml:space="preserve">Tulos (Oma joukkue – Vastustaja):</t>
  </si>
  <si>
    <t xml:space="preserve">YV Kerrat:</t>
  </si>
  <si>
    <t xml:space="preserve">AV Kerrat:</t>
  </si>
  <si>
    <t xml:space="preserve">Koti/Vieras:</t>
  </si>
  <si>
    <t xml:space="preserve">MISTÄ?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</si>
  <si>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</si>
  <si>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</si>
  <si>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</si>
  <si>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</si>
  <si>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</si>
  <si>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</si>
  <si>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</si>
  <si>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</si>
  <si>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</si>
  <si>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</si>
  <si>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+ / -</t>
  </si>
  <si>
    <t xml:space="preserve">+</t>
  </si>
  <si>
    <t xml:space="preserve">-</t>
  </si>
  <si>
    <t xml:space="preserve">Paikat yht</t>
  </si>
  <si>
    <t xml:space="preserve">Maalit</t>
  </si>
  <si>
    <t xml:space="preserve">Tehokkuus</t>
  </si>
  <si>
    <t xml:space="preserve">MITEN?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</si>
  <si>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</si>
  <si>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</si>
  <si>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</si>
  <si>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</si>
  <si>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</si>
  <si>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</si>
  <si>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</si>
  <si>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</si>
  <si>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</si>
  <si>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</si>
  <si>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</si>
  <si>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Rangaistuslaukaus</t>
  </si>
  <si>
    <t xml:space="preserve">MIHIN?</t>
  </si>
  <si>
    <t xml:space="preserve">Maalit +</t>
  </si>
  <si>
    <t xml:space="preserve">Paikat yht +</t>
  </si>
  <si>
    <t xml:space="preserve">Tehokkuus %</t>
  </si>
  <si>
    <t xml:space="preserve">Oma joukkue</t>
  </si>
  <si>
    <t xml:space="preserve">YHTEENSÄ +</t>
  </si>
  <si>
    <t xml:space="preserve">X = Maali</t>
  </si>
  <si>
    <t xml:space="preserve">O = Maalipaikka</t>
  </si>
  <si>
    <t xml:space="preserve">MAALIT</t>
  </si>
  <si>
    <t xml:space="preserve">PAIKAT YHT</t>
  </si>
  <si>
    <t xml:space="preserve">TEHOKKUUS %</t>
  </si>
  <si>
    <t xml:space="preserve">Maalit -</t>
  </si>
  <si>
    <t xml:space="preserve">Paikat yht -</t>
  </si>
  <si>
    <t xml:space="preserve">Vastustaja</t>
  </si>
  <si>
    <t xml:space="preserve">YHTEENSÄ -</t>
  </si>
  <si>
    <t xml:space="preserve">MILLOIN?</t>
  </si>
  <si>
    <t xml:space="preserve">Tilanne</t>
  </si>
  <si>
    <t xml:space="preserve">5 v 5</t>
  </si>
  <si>
    <t xml:space="preserve">YV</t>
  </si>
  <si>
    <t xml:space="preserve">AV</t>
  </si>
  <si>
    <t xml:space="preserve">TM+</t>
  </si>
  <si>
    <t xml:space="preserve">TM-</t>
  </si>
  <si>
    <t xml:space="preserve">YV / AV Tilaisuudet</t>
  </si>
  <si>
    <t xml:space="preserve">YV / AV 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</si>
</sst>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\ %"/>
    <numFmt numFmtId="167" formatCode="0%"/>
    <numFmt numFmtId="168" formatCode="0.0%"/>
    <numFmt numFmtId="169" formatCode="0.00%"/>
  </numFmts>
  <fonts count="1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1"/>
      <name val="Calibri"/>
      <family val="2"/>
      <charset val="1"/>
    </font>
    <font>
      <sz val="36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36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2" borderId="0" xfId="19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false" showOutlineSymbols="true" defaultGridColor="true" view="normal" topLeftCell="R1" colorId="64" zoomScale="100" zoomScaleNormal="100" zoomScalePageLayoutView="100" workbookViewId="0">
      <selection pane="topLeft" activeCell="V10" activeCellId="0" sqref="V10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2" t="s">
        <v>0</v>
      </c>
      <c r="C1" s="3"/>
      <c r="D1" s="3"/>
      <c r="E1" s="3"/>
      <c r="F1" s="4" t="s">
        <v>1</v>
      </c>
      <c r="G1" s="5"/>
      <c r="H1" s="5"/>
      <c r="I1" s="5"/>
      <c r="J1" s="6" t="s">
        <v>2</v>
      </c>
      <c r="K1" s="6"/>
      <c r="L1" s="6"/>
      <c r="M1" s="5"/>
      <c r="N1" s="5"/>
      <c r="O1" s="2" t="s">
        <v>3</v>
      </c>
      <c r="P1" s="7"/>
      <c r="Q1" s="8" t="s">
        <v>4</v>
      </c>
      <c r="R1" s="9"/>
      <c r="S1" s="2" t="s">
        <v>5</v>
      </c>
      <c r="T1" s="3"/>
      <c r="U1" s="10"/>
      <c r="V1" s="11"/>
      <c r="W1" s="11"/>
      <c r="X1" s="11"/>
      <c r="Y1" s="11"/>
      <c r="Z1" s="11"/>
      <c r="AA1" s="11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  <c r="V10" s="22" t="s">
        <v>35</v>
      </c>
      <c r="W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  <c r="V11" s="35" t="s">
        <v>18</v>
      </c>
      <c r="W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  <c r="V12" s="37" t="n">
        <v>0</v>
      </c>
      <c r="W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  <c r="V13" s="37" t="n">
        <v>0</v>
      </c>
      <c r="W13" s="27" t="n">
        <v>0</v>
      </c>
      <c r="X13" s="39"/>
      <c r="Y13" s="39"/>
      <c r="Z13" s="39"/>
      <c r="AA13" s="39"/>
      <c r="AB13" s="39"/>
      <c r="AC13" s="39"/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40" t="n">
        <f aca="false">IFERROR(D13 / D12,0)</f>
        <v>0</v>
      </c>
      <c r="E14" s="40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40" t="n">
        <f aca="false">IFERROR(H13 / H12,0)</f>
        <v>0</v>
      </c>
      <c r="I14" s="40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40" t="n">
        <f aca="false">IFERROR(L13 / L12,0)</f>
        <v>0</v>
      </c>
      <c r="M14" s="40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40" t="n">
        <f aca="false">IFERROR(P13 / P12,0)</f>
        <v>0</v>
      </c>
      <c r="Q14" s="40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40" t="n">
        <f aca="false">IFERROR(T13 / T12,0)</f>
        <v>0</v>
      </c>
      <c r="U14" s="30" t="n">
        <f aca="false">IFERROR(U13 / U12,0)</f>
        <v>0</v>
      </c>
      <c r="V14" s="40" t="n">
        <f aca="false">IFERROR(V13 / V12,0)</f>
        <v>0</v>
      </c>
      <c r="W14" s="30" t="n">
        <f aca="false">IFERROR(W13 / W12,0)</f>
        <v>0</v>
      </c>
      <c r="X14" s="39"/>
      <c r="Y14" s="39"/>
      <c r="Z14" s="39"/>
      <c r="AA14" s="39"/>
      <c r="AB14" s="39"/>
      <c r="AC14" s="39"/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1" t="s">
        <v>36</v>
      </c>
      <c r="B17" s="19"/>
      <c r="C17" s="42" t="s">
        <v>37</v>
      </c>
      <c r="D17" s="42"/>
      <c r="E17" s="42"/>
      <c r="F17" s="19"/>
      <c r="G17" s="19"/>
      <c r="H17" s="43" t="s">
        <v>38</v>
      </c>
      <c r="I17" s="43"/>
      <c r="J17" s="43"/>
      <c r="K17" s="19"/>
      <c r="L17" s="19"/>
      <c r="M17" s="42" t="s">
        <v>39</v>
      </c>
      <c r="N17" s="42"/>
      <c r="O17" s="42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4" t="s">
        <v>40</v>
      </c>
      <c r="B18" s="45"/>
      <c r="C18" s="46"/>
      <c r="D18" s="46"/>
      <c r="E18" s="47"/>
      <c r="F18" s="48"/>
      <c r="G18" s="49"/>
      <c r="H18" s="50"/>
      <c r="I18" s="50"/>
      <c r="J18" s="46"/>
      <c r="K18" s="51"/>
      <c r="L18" s="49"/>
      <c r="M18" s="50"/>
      <c r="N18" s="50"/>
      <c r="O18" s="46"/>
      <c r="P18" s="51"/>
      <c r="Q18" s="52" t="s">
        <v>41</v>
      </c>
      <c r="R18" s="52"/>
      <c r="S18" s="52"/>
      <c r="T18" s="53" t="s">
        <v>18</v>
      </c>
      <c r="U18" s="53"/>
      <c r="V18" s="53"/>
      <c r="W18" s="53"/>
      <c r="X18" s="54" t="s">
        <v>42</v>
      </c>
      <c r="Y18" s="54"/>
      <c r="Z18" s="55" t="s">
        <v>19</v>
      </c>
      <c r="AA18" s="55"/>
      <c r="AB18" s="55"/>
      <c r="AC18" s="55"/>
      <c r="AD18" s="39"/>
      <c r="AE18" s="39"/>
    </row>
    <row r="19" customFormat="false" ht="15" hidden="false" customHeight="true" outlineLevel="0" collapsed="false">
      <c r="A19" s="56"/>
      <c r="B19" s="57"/>
      <c r="C19" s="58" t="n">
        <v>0</v>
      </c>
      <c r="D19" s="59" t="n">
        <v>0</v>
      </c>
      <c r="E19" s="60" t="n">
        <v>0</v>
      </c>
      <c r="F19" s="61"/>
      <c r="G19" s="62"/>
      <c r="H19" s="58" t="n">
        <v>0</v>
      </c>
      <c r="I19" s="59" t="n">
        <v>0</v>
      </c>
      <c r="J19" s="60" t="n">
        <v>0</v>
      </c>
      <c r="K19" s="63"/>
      <c r="L19" s="62"/>
      <c r="M19" s="64" t="n">
        <f aca="false">IFERROR(C19 / H19,0)</f>
        <v>0</v>
      </c>
      <c r="N19" s="65" t="n">
        <f aca="false">IFERROR(D19 / I19,0)</f>
        <v>0</v>
      </c>
      <c r="O19" s="66" t="n">
        <f aca="false">IFERROR(E19 / J19,0)</f>
        <v>0</v>
      </c>
      <c r="P19" s="63"/>
      <c r="Q19" s="52"/>
      <c r="R19" s="52"/>
      <c r="S19" s="52"/>
      <c r="T19" s="53"/>
      <c r="U19" s="53"/>
      <c r="V19" s="53"/>
      <c r="W19" s="53"/>
      <c r="X19" s="67" t="s">
        <v>43</v>
      </c>
      <c r="Y19" s="67"/>
      <c r="Z19" s="55"/>
      <c r="AA19" s="55"/>
      <c r="AB19" s="55"/>
      <c r="AC19" s="55"/>
      <c r="AD19" s="39"/>
      <c r="AE19" s="39"/>
    </row>
    <row r="20" customFormat="false" ht="15" hidden="false" customHeight="true" outlineLevel="0" collapsed="false">
      <c r="A20" s="56"/>
      <c r="B20" s="57"/>
      <c r="C20" s="68" t="n">
        <v>0</v>
      </c>
      <c r="D20" s="69" t="n">
        <v>0</v>
      </c>
      <c r="E20" s="70" t="n">
        <v>0</v>
      </c>
      <c r="F20" s="61"/>
      <c r="G20" s="62"/>
      <c r="H20" s="68" t="n">
        <v>0</v>
      </c>
      <c r="I20" s="69" t="n">
        <v>0</v>
      </c>
      <c r="J20" s="70" t="n">
        <v>0</v>
      </c>
      <c r="K20" s="63"/>
      <c r="L20" s="62"/>
      <c r="M20" s="71" t="n">
        <f aca="false">IFERROR(C20 / H20,0)</f>
        <v>0</v>
      </c>
      <c r="N20" s="72" t="n">
        <f aca="false">IFERROR(D20 / I20,0)</f>
        <v>0</v>
      </c>
      <c r="O20" s="73" t="n">
        <f aca="false">IFERROR(E20 / J20,0)</f>
        <v>0</v>
      </c>
      <c r="P20" s="63"/>
      <c r="Q20" s="74" t="s">
        <v>44</v>
      </c>
      <c r="R20" s="74"/>
      <c r="S20" s="75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6"/>
      <c r="B21" s="57"/>
      <c r="C21" s="68" t="n">
        <v>0</v>
      </c>
      <c r="D21" s="76" t="n">
        <v>0</v>
      </c>
      <c r="E21" s="70" t="n">
        <v>0</v>
      </c>
      <c r="F21" s="61"/>
      <c r="G21" s="62"/>
      <c r="H21" s="68" t="n">
        <v>0</v>
      </c>
      <c r="I21" s="76" t="n">
        <v>0</v>
      </c>
      <c r="J21" s="70" t="n">
        <v>0</v>
      </c>
      <c r="K21" s="63"/>
      <c r="L21" s="62"/>
      <c r="M21" s="71" t="n">
        <f aca="false">IFERROR(C21 / H21,0)</f>
        <v>0</v>
      </c>
      <c r="N21" s="72" t="n">
        <f aca="false">IFERROR(D21 / I21,0)</f>
        <v>0</v>
      </c>
      <c r="O21" s="73" t="n">
        <f aca="false">IFERROR(E21 / J21,0)</f>
        <v>0</v>
      </c>
      <c r="P21" s="63"/>
      <c r="Q21" s="74" t="s">
        <v>45</v>
      </c>
      <c r="R21" s="74"/>
      <c r="S21" s="75" t="n">
        <f aca="false">SUM(B12,D12,F12,H12,J12,L12,N12,P12,R12,T12)</f>
        <v>0</v>
      </c>
    </row>
    <row r="22" customFormat="false" ht="15" hidden="false" customHeight="true" outlineLevel="0" collapsed="false">
      <c r="A22" s="77"/>
      <c r="B22" s="78"/>
      <c r="C22" s="79"/>
      <c r="D22" s="79"/>
      <c r="E22" s="79"/>
      <c r="F22" s="80"/>
      <c r="G22" s="78"/>
      <c r="H22" s="79"/>
      <c r="I22" s="79"/>
      <c r="J22" s="79"/>
      <c r="K22" s="80"/>
      <c r="L22" s="78"/>
      <c r="M22" s="79"/>
      <c r="N22" s="79"/>
      <c r="O22" s="79"/>
      <c r="P22" s="80"/>
      <c r="Q22" s="74" t="s">
        <v>46</v>
      </c>
      <c r="R22" s="74"/>
      <c r="S22" s="81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2" t="s">
        <v>47</v>
      </c>
      <c r="D24" s="42"/>
      <c r="E24" s="42"/>
      <c r="F24" s="19"/>
      <c r="G24" s="18"/>
      <c r="H24" s="43" t="s">
        <v>48</v>
      </c>
      <c r="I24" s="43"/>
      <c r="J24" s="43"/>
      <c r="K24" s="19"/>
      <c r="L24" s="19"/>
      <c r="M24" s="42" t="s">
        <v>39</v>
      </c>
      <c r="N24" s="42"/>
      <c r="O24" s="42"/>
      <c r="P24" s="19"/>
      <c r="Q24" s="19"/>
      <c r="R24" s="19"/>
      <c r="S24" s="19"/>
    </row>
    <row r="25" customFormat="false" ht="15" hidden="false" customHeight="true" outlineLevel="0" collapsed="false">
      <c r="A25" s="44" t="s">
        <v>49</v>
      </c>
      <c r="B25" s="49"/>
      <c r="C25" s="50"/>
      <c r="D25" s="50"/>
      <c r="E25" s="46"/>
      <c r="F25" s="51"/>
      <c r="G25" s="49"/>
      <c r="H25" s="50"/>
      <c r="I25" s="50"/>
      <c r="J25" s="46"/>
      <c r="K25" s="51"/>
      <c r="L25" s="49"/>
      <c r="M25" s="50"/>
      <c r="N25" s="50"/>
      <c r="O25" s="46"/>
      <c r="P25" s="51"/>
      <c r="Q25" s="52" t="s">
        <v>50</v>
      </c>
      <c r="R25" s="52"/>
      <c r="S25" s="52"/>
    </row>
    <row r="26" customFormat="false" ht="15" hidden="false" customHeight="true" outlineLevel="0" collapsed="false">
      <c r="A26" s="56"/>
      <c r="B26" s="62"/>
      <c r="C26" s="58" t="n">
        <v>0</v>
      </c>
      <c r="D26" s="59" t="n">
        <v>0</v>
      </c>
      <c r="E26" s="60" t="n">
        <v>0</v>
      </c>
      <c r="F26" s="63"/>
      <c r="G26" s="62"/>
      <c r="H26" s="58" t="n">
        <v>0</v>
      </c>
      <c r="I26" s="59" t="n">
        <v>0</v>
      </c>
      <c r="J26" s="60" t="n">
        <v>0</v>
      </c>
      <c r="K26" s="63"/>
      <c r="L26" s="62"/>
      <c r="M26" s="64" t="n">
        <f aca="false">IFERROR(C26 / H26,0)</f>
        <v>0</v>
      </c>
      <c r="N26" s="65" t="n">
        <f aca="false">IFERROR(D26 / I26,0)</f>
        <v>0</v>
      </c>
      <c r="O26" s="66" t="n">
        <f aca="false">IFERROR(E26 / J26,0)</f>
        <v>0</v>
      </c>
      <c r="P26" s="63"/>
      <c r="Q26" s="52"/>
      <c r="R26" s="52"/>
      <c r="S26" s="52"/>
    </row>
    <row r="27" customFormat="false" ht="15" hidden="false" customHeight="true" outlineLevel="0" collapsed="false">
      <c r="A27" s="56"/>
      <c r="B27" s="62"/>
      <c r="C27" s="68" t="n">
        <v>0</v>
      </c>
      <c r="D27" s="69" t="n">
        <v>0</v>
      </c>
      <c r="E27" s="70" t="n">
        <v>0</v>
      </c>
      <c r="F27" s="63"/>
      <c r="G27" s="62"/>
      <c r="H27" s="68" t="n">
        <v>0</v>
      </c>
      <c r="I27" s="69" t="n">
        <v>0</v>
      </c>
      <c r="J27" s="70" t="n">
        <v>0</v>
      </c>
      <c r="K27" s="63"/>
      <c r="L27" s="62"/>
      <c r="M27" s="71" t="n">
        <f aca="false">IFERROR(C27 / H27,0)</f>
        <v>0</v>
      </c>
      <c r="N27" s="72" t="n">
        <f aca="false">IFERROR(D27 / I27,0)</f>
        <v>0</v>
      </c>
      <c r="O27" s="73" t="n">
        <f aca="false">IFERROR(E27 / J27,0)</f>
        <v>0</v>
      </c>
      <c r="P27" s="63"/>
      <c r="Q27" s="74" t="s">
        <v>44</v>
      </c>
      <c r="R27" s="74"/>
      <c r="S27" s="75" t="n">
        <f aca="false">SUM(C13,E13,G13,I13,K13,M13,O13,Q13,S13,U13)</f>
        <v>0</v>
      </c>
    </row>
    <row r="28" customFormat="false" ht="15" hidden="false" customHeight="true" outlineLevel="0" collapsed="false">
      <c r="A28" s="56"/>
      <c r="B28" s="62"/>
      <c r="C28" s="68" t="n">
        <v>0</v>
      </c>
      <c r="D28" s="76" t="n">
        <v>0</v>
      </c>
      <c r="E28" s="70" t="n">
        <v>0</v>
      </c>
      <c r="F28" s="63"/>
      <c r="G28" s="62"/>
      <c r="H28" s="68" t="n">
        <v>0</v>
      </c>
      <c r="I28" s="76" t="n">
        <v>0</v>
      </c>
      <c r="J28" s="70" t="n">
        <v>0</v>
      </c>
      <c r="K28" s="63"/>
      <c r="L28" s="62"/>
      <c r="M28" s="71" t="n">
        <f aca="false">IFERROR(C28 / H28,0)</f>
        <v>0</v>
      </c>
      <c r="N28" s="72" t="n">
        <f aca="false">IFERROR(D28 / I28,0)</f>
        <v>0</v>
      </c>
      <c r="O28" s="73" t="n">
        <f aca="false">IFERROR(E28 / J28,0)</f>
        <v>0</v>
      </c>
      <c r="P28" s="63"/>
      <c r="Q28" s="74" t="s">
        <v>45</v>
      </c>
      <c r="R28" s="74"/>
      <c r="S28" s="75" t="n">
        <f aca="false">SUM(C12,E12,G12,I12,K12,M12,O12,Q12,S12,U12)</f>
        <v>0</v>
      </c>
    </row>
    <row r="29" customFormat="false" ht="15" hidden="false" customHeight="true" outlineLevel="0" collapsed="false">
      <c r="A29" s="77"/>
      <c r="B29" s="78"/>
      <c r="C29" s="79"/>
      <c r="D29" s="79"/>
      <c r="E29" s="79"/>
      <c r="F29" s="80"/>
      <c r="G29" s="78"/>
      <c r="H29" s="79"/>
      <c r="I29" s="79"/>
      <c r="J29" s="79"/>
      <c r="K29" s="80"/>
      <c r="L29" s="78"/>
      <c r="M29" s="79"/>
      <c r="N29" s="79"/>
      <c r="O29" s="79"/>
      <c r="P29" s="80"/>
      <c r="Q29" s="74" t="s">
        <v>46</v>
      </c>
      <c r="R29" s="74"/>
      <c r="S29" s="81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82"/>
      <c r="D31" s="83"/>
      <c r="E31" s="82"/>
      <c r="F31" s="82"/>
      <c r="G31" s="83"/>
      <c r="H31" s="82"/>
      <c r="I31" s="82"/>
      <c r="J31" s="83"/>
      <c r="K31" s="82"/>
      <c r="L31" s="82"/>
      <c r="M31" s="83"/>
      <c r="N31" s="82"/>
      <c r="O31" s="82"/>
      <c r="P31" s="83"/>
      <c r="Q31" s="82"/>
    </row>
    <row r="32" customFormat="false" ht="15" hidden="false" customHeight="true" outlineLevel="0" collapsed="false">
      <c r="A32" s="84" t="s">
        <v>51</v>
      </c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82"/>
      <c r="N32" s="82"/>
      <c r="O32" s="82"/>
      <c r="P32" s="82"/>
      <c r="Q32" s="82"/>
    </row>
    <row r="33" customFormat="false" ht="15" hidden="false" customHeight="true" outlineLevel="0" collapsed="false">
      <c r="A33" s="85" t="s">
        <v>52</v>
      </c>
      <c r="B33" s="86" t="s">
        <v>53</v>
      </c>
      <c r="C33" s="86"/>
      <c r="D33" s="87" t="s">
        <v>54</v>
      </c>
      <c r="E33" s="87"/>
      <c r="F33" s="87" t="s">
        <v>55</v>
      </c>
      <c r="G33" s="87"/>
      <c r="H33" s="88" t="s">
        <v>56</v>
      </c>
      <c r="I33" s="88"/>
      <c r="J33" s="89" t="s">
        <v>57</v>
      </c>
      <c r="K33" s="89"/>
      <c r="L33" s="39"/>
      <c r="M33" s="82"/>
      <c r="N33" s="82"/>
      <c r="O33" s="82"/>
      <c r="P33" s="82"/>
      <c r="Q33" s="82"/>
    </row>
    <row r="34" customFormat="false" ht="14.25" hidden="false" customHeight="true" outlineLevel="0" collapsed="false">
      <c r="A34" s="90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39"/>
    </row>
    <row r="35" customFormat="false" ht="14.25" hidden="false" customHeight="true" outlineLevel="0" collapsed="false">
      <c r="A35" s="90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39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90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39"/>
      <c r="O36" s="42"/>
      <c r="P36" s="42"/>
      <c r="Q36" s="42"/>
      <c r="R36" s="91"/>
    </row>
    <row r="37" customFormat="false" ht="15" hidden="false" customHeight="true" outlineLevel="0" collapsed="false">
      <c r="A37" s="92" t="s">
        <v>22</v>
      </c>
      <c r="B37" s="93" t="n">
        <f aca="false">IFERROR(B36 / B35,0)</f>
        <v>0</v>
      </c>
      <c r="C37" s="94" t="n">
        <f aca="false">IFERROR(C36 / C35,0)</f>
        <v>0</v>
      </c>
      <c r="D37" s="93" t="n">
        <f aca="false">IFERROR(D36 / D35,0)</f>
        <v>0</v>
      </c>
      <c r="E37" s="95" t="n">
        <f aca="false">IFERROR(E36 / E35,0)</f>
        <v>0</v>
      </c>
      <c r="F37" s="94" t="n">
        <f aca="false">IFERROR(F36 / F35,0)</f>
        <v>0</v>
      </c>
      <c r="G37" s="94" t="n">
        <f aca="false">IFERROR(G36 / G35,0)</f>
        <v>0</v>
      </c>
      <c r="H37" s="93" t="n">
        <f aca="false">IFERROR(H36 / H35,0)</f>
        <v>0</v>
      </c>
      <c r="I37" s="95" t="n">
        <f aca="false">IFERROR(I36 / I35,0)</f>
        <v>0</v>
      </c>
      <c r="J37" s="94" t="n">
        <f aca="false">IFERROR(J36 / J35,0)</f>
        <v>0</v>
      </c>
      <c r="K37" s="95" t="n">
        <f aca="false">IFERROR(K36 / K35,0)</f>
        <v>0</v>
      </c>
      <c r="L37" s="39"/>
      <c r="M37" s="83"/>
      <c r="N37" s="82"/>
      <c r="O37" s="82"/>
      <c r="P37" s="83"/>
      <c r="Q37" s="82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5" t="s">
        <v>58</v>
      </c>
      <c r="B38" s="14"/>
      <c r="C38" s="14"/>
      <c r="D38" s="96" t="str">
        <f aca="false">O1</f>
        <v>YV Kerrat:</v>
      </c>
      <c r="E38" s="14"/>
      <c r="F38" s="14"/>
      <c r="G38" s="96" t="str">
        <f aca="false">Q1</f>
        <v>AV Kerrat:</v>
      </c>
      <c r="H38" s="14"/>
      <c r="I38" s="14"/>
      <c r="J38" s="14"/>
      <c r="K38" s="14"/>
      <c r="L38" s="39"/>
      <c r="M38" s="82"/>
      <c r="N38" s="82"/>
      <c r="O38" s="82"/>
      <c r="P38" s="82"/>
      <c r="Q38" s="82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92" t="s">
        <v>59</v>
      </c>
      <c r="B39" s="14"/>
      <c r="C39" s="14"/>
      <c r="D39" s="97" t="n">
        <f aca="false">IFERROR(D35 / D38,0)</f>
        <v>0</v>
      </c>
      <c r="E39" s="14"/>
      <c r="F39" s="14"/>
      <c r="G39" s="97" t="n">
        <f aca="false">IFERROR(G35 / G38,0)</f>
        <v>0</v>
      </c>
      <c r="H39" s="13"/>
      <c r="I39" s="98"/>
      <c r="J39" s="98"/>
      <c r="K39" s="13"/>
      <c r="M39" s="82"/>
      <c r="N39" s="82"/>
      <c r="O39" s="82"/>
      <c r="P39" s="82"/>
      <c r="Q39" s="82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9"/>
      <c r="U41" s="99"/>
      <c r="V41" s="99"/>
      <c r="W41" s="99"/>
      <c r="X41" s="99"/>
      <c r="Y41" s="99"/>
      <c r="Z41" s="99"/>
      <c r="AA41" s="99"/>
      <c r="AB41" s="99"/>
      <c r="AC41" s="99"/>
      <c r="AD41" s="99"/>
      <c r="AE41" s="99"/>
      <c r="AF41" s="19"/>
      <c r="AG41" s="99"/>
      <c r="AH41" s="99"/>
      <c r="AI41" s="99"/>
      <c r="AJ41" s="99"/>
      <c r="AK41" s="99"/>
      <c r="AL41" s="99"/>
      <c r="AM41" s="99"/>
      <c r="AN41" s="99"/>
      <c r="AO41" s="99"/>
      <c r="AP41" s="99"/>
      <c r="AQ41" s="99"/>
      <c r="AR41" s="99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100" t="str">
        <f aca="false">IFERROR(C66 / D66, "")</f>
        <v/>
      </c>
      <c r="F66" s="19"/>
      <c r="G66" s="19"/>
      <c r="I66" s="19"/>
      <c r="J66" s="19"/>
      <c r="K66" s="100" t="str">
        <f aca="false">IFERROR(I66 / J66, "")</f>
        <v/>
      </c>
      <c r="L66" s="19"/>
      <c r="M66" s="19"/>
      <c r="O66" s="19"/>
      <c r="P66" s="19"/>
      <c r="Q66" s="100" t="str">
        <f aca="false">IFERROR(O66 / P66, "")</f>
        <v/>
      </c>
      <c r="R66" s="19"/>
      <c r="S66" s="19"/>
      <c r="U66" s="19"/>
      <c r="V66" s="19"/>
      <c r="W66" s="100" t="str">
        <f aca="false">IFERROR(U66 / V66, "")</f>
        <v/>
      </c>
      <c r="X66" s="19"/>
      <c r="Z66" s="19"/>
      <c r="AA66" s="19"/>
      <c r="AB66" s="100" t="str">
        <f aca="false">IFERROR(Z66 / AA66, "")</f>
        <v/>
      </c>
      <c r="AC66" s="19"/>
      <c r="AE66" s="19"/>
      <c r="AF66" s="19"/>
      <c r="AG66" s="100" t="str">
        <f aca="false">IFERROR(AE66 / AF66, "")</f>
        <v/>
      </c>
      <c r="AH66" s="19"/>
      <c r="AJ66" s="19"/>
      <c r="AK66" s="19"/>
      <c r="AL66" s="100" t="str">
        <f aca="false">IFERROR(AJ66 / AK66, "")</f>
        <v/>
      </c>
      <c r="AM66" s="19"/>
      <c r="AO66" s="19"/>
      <c r="AP66" s="19"/>
      <c r="AQ66" s="100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51">
    <mergeCell ref="C1:E1"/>
    <mergeCell ref="G1:I1"/>
    <mergeCell ref="J1:L1"/>
    <mergeCell ref="M1:N1"/>
    <mergeCell ref="V1:AA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V10:W10"/>
    <mergeCell ref="C17:E17"/>
    <mergeCell ref="H17:J17"/>
    <mergeCell ref="M17:O17"/>
    <mergeCell ref="Q18:S19"/>
    <mergeCell ref="T18:W19"/>
    <mergeCell ref="X18:Y18"/>
    <mergeCell ref="Z18:AC19"/>
    <mergeCell ref="X19:Y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Z9" activeCellId="0" sqref="Z9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18"/>
      <c r="C1" s="14"/>
      <c r="D1" s="14"/>
      <c r="E1" s="14"/>
      <c r="F1" s="15"/>
      <c r="G1" s="101"/>
      <c r="H1" s="101"/>
      <c r="I1" s="101"/>
      <c r="J1" s="43"/>
      <c r="K1" s="43"/>
      <c r="L1" s="43"/>
      <c r="M1" s="101"/>
      <c r="N1" s="101"/>
      <c r="O1" s="18"/>
      <c r="P1" s="19"/>
      <c r="Q1" s="18"/>
      <c r="R1" s="19"/>
      <c r="S1" s="18"/>
      <c r="T1" s="19"/>
      <c r="U1" s="19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  <c r="V10" s="22" t="s">
        <v>35</v>
      </c>
      <c r="W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  <c r="V11" s="35" t="s">
        <v>18</v>
      </c>
      <c r="W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  <c r="V12" s="37" t="n">
        <v>0</v>
      </c>
      <c r="W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  <c r="V13" s="37" t="n">
        <v>0</v>
      </c>
      <c r="W13" s="27" t="n">
        <v>0</v>
      </c>
      <c r="X13" s="39"/>
      <c r="Y13" s="39"/>
      <c r="Z13" s="39"/>
      <c r="AA13" s="39"/>
      <c r="AB13" s="39"/>
      <c r="AC13" s="39"/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40" t="n">
        <f aca="false">IFERROR(D13 / D12,0)</f>
        <v>0</v>
      </c>
      <c r="E14" s="40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40" t="n">
        <f aca="false">IFERROR(H13 / H12,0)</f>
        <v>0</v>
      </c>
      <c r="I14" s="40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40" t="n">
        <f aca="false">IFERROR(L13 / L12,0)</f>
        <v>0</v>
      </c>
      <c r="M14" s="40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40" t="n">
        <f aca="false">IFERROR(P13 / P12,0)</f>
        <v>0</v>
      </c>
      <c r="Q14" s="40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40" t="n">
        <f aca="false">IFERROR(T13 / T12,0)</f>
        <v>0</v>
      </c>
      <c r="U14" s="30" t="n">
        <f aca="false">IFERROR(U13 / U12,0)</f>
        <v>0</v>
      </c>
      <c r="V14" s="40" t="n">
        <f aca="false">IFERROR(V13 / V12,0)</f>
        <v>0</v>
      </c>
      <c r="W14" s="30" t="n">
        <f aca="false">IFERROR(W13 / W12,0)</f>
        <v>0</v>
      </c>
      <c r="X14" s="39"/>
      <c r="Y14" s="39"/>
      <c r="Z14" s="39"/>
      <c r="AA14" s="39"/>
      <c r="AB14" s="39"/>
      <c r="AC14" s="39"/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1" t="s">
        <v>36</v>
      </c>
      <c r="B17" s="19"/>
      <c r="C17" s="42" t="s">
        <v>37</v>
      </c>
      <c r="D17" s="42"/>
      <c r="E17" s="42"/>
      <c r="F17" s="19"/>
      <c r="G17" s="19"/>
      <c r="H17" s="43" t="s">
        <v>38</v>
      </c>
      <c r="I17" s="43"/>
      <c r="J17" s="43"/>
      <c r="K17" s="19"/>
      <c r="L17" s="19"/>
      <c r="M17" s="42" t="s">
        <v>39</v>
      </c>
      <c r="N17" s="42"/>
      <c r="O17" s="42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4" t="s">
        <v>40</v>
      </c>
      <c r="B18" s="45"/>
      <c r="C18" s="46"/>
      <c r="D18" s="46"/>
      <c r="E18" s="47"/>
      <c r="F18" s="48"/>
      <c r="G18" s="49"/>
      <c r="H18" s="50"/>
      <c r="I18" s="50"/>
      <c r="J18" s="46"/>
      <c r="K18" s="51"/>
      <c r="L18" s="49"/>
      <c r="M18" s="50"/>
      <c r="N18" s="50"/>
      <c r="O18" s="46"/>
      <c r="P18" s="51"/>
      <c r="Q18" s="52" t="s">
        <v>41</v>
      </c>
      <c r="R18" s="52"/>
      <c r="S18" s="52"/>
      <c r="T18" s="53" t="s">
        <v>18</v>
      </c>
      <c r="U18" s="53"/>
      <c r="V18" s="53"/>
      <c r="W18" s="53"/>
      <c r="X18" s="54" t="s">
        <v>42</v>
      </c>
      <c r="Y18" s="54"/>
      <c r="Z18" s="55" t="s">
        <v>19</v>
      </c>
      <c r="AA18" s="55"/>
      <c r="AB18" s="55"/>
      <c r="AC18" s="55"/>
      <c r="AD18" s="39"/>
      <c r="AE18" s="39"/>
      <c r="AF18" s="39"/>
      <c r="AG18" s="39"/>
    </row>
    <row r="19" customFormat="false" ht="15" hidden="false" customHeight="true" outlineLevel="0" collapsed="false">
      <c r="A19" s="56"/>
      <c r="B19" s="57"/>
      <c r="C19" s="58" t="n">
        <v>1</v>
      </c>
      <c r="D19" s="59" t="n">
        <v>0</v>
      </c>
      <c r="E19" s="60" t="n">
        <v>0</v>
      </c>
      <c r="F19" s="61"/>
      <c r="G19" s="62"/>
      <c r="H19" s="58" t="n">
        <v>3</v>
      </c>
      <c r="I19" s="59" t="n">
        <v>0</v>
      </c>
      <c r="J19" s="60" t="n">
        <v>0</v>
      </c>
      <c r="K19" s="63"/>
      <c r="L19" s="62"/>
      <c r="M19" s="64" t="n">
        <f aca="false">IFERROR(C19 / H19,0)</f>
        <v>0.333333333333333</v>
      </c>
      <c r="N19" s="65" t="n">
        <f aca="false">IFERROR(D19 / I19,0)</f>
        <v>0</v>
      </c>
      <c r="O19" s="66" t="n">
        <f aca="false">IFERROR(E19 / J19,0)</f>
        <v>0</v>
      </c>
      <c r="P19" s="63"/>
      <c r="Q19" s="52"/>
      <c r="R19" s="52"/>
      <c r="S19" s="52"/>
      <c r="T19" s="53"/>
      <c r="U19" s="53"/>
      <c r="V19" s="53"/>
      <c r="W19" s="53"/>
      <c r="X19" s="67" t="s">
        <v>43</v>
      </c>
      <c r="Y19" s="67"/>
      <c r="Z19" s="55"/>
      <c r="AA19" s="55"/>
      <c r="AB19" s="55"/>
      <c r="AC19" s="55"/>
      <c r="AD19" s="39"/>
      <c r="AE19" s="39"/>
      <c r="AF19" s="39"/>
      <c r="AG19" s="39"/>
    </row>
    <row r="20" customFormat="false" ht="15" hidden="false" customHeight="true" outlineLevel="0" collapsed="false">
      <c r="A20" s="56"/>
      <c r="B20" s="57"/>
      <c r="C20" s="68" t="n">
        <v>0</v>
      </c>
      <c r="D20" s="69" t="n">
        <v>0</v>
      </c>
      <c r="E20" s="70" t="n">
        <v>0</v>
      </c>
      <c r="F20" s="61"/>
      <c r="G20" s="62"/>
      <c r="H20" s="68" t="n">
        <v>0</v>
      </c>
      <c r="I20" s="69" t="n">
        <v>0</v>
      </c>
      <c r="J20" s="70" t="n">
        <v>0</v>
      </c>
      <c r="K20" s="63"/>
      <c r="L20" s="62"/>
      <c r="M20" s="71" t="n">
        <f aca="false">IFERROR(C20 / H20,0)</f>
        <v>0</v>
      </c>
      <c r="N20" s="72" t="n">
        <f aca="false">IFERROR(D20 / I20,0)</f>
        <v>0</v>
      </c>
      <c r="O20" s="73" t="n">
        <f aca="false">IFERROR(E20 / J20,0)</f>
        <v>0</v>
      </c>
      <c r="P20" s="63"/>
      <c r="Q20" s="74" t="s">
        <v>44</v>
      </c>
      <c r="R20" s="74"/>
      <c r="S20" s="75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6"/>
      <c r="B21" s="57"/>
      <c r="C21" s="68" t="n">
        <v>0</v>
      </c>
      <c r="D21" s="76" t="n">
        <v>0</v>
      </c>
      <c r="E21" s="70" t="n">
        <v>0</v>
      </c>
      <c r="F21" s="61"/>
      <c r="G21" s="62"/>
      <c r="H21" s="68" t="n">
        <v>0</v>
      </c>
      <c r="I21" s="76" t="n">
        <v>0</v>
      </c>
      <c r="J21" s="70" t="n">
        <v>0</v>
      </c>
      <c r="K21" s="63"/>
      <c r="L21" s="62"/>
      <c r="M21" s="71" t="n">
        <f aca="false">IFERROR(C21 / H21,0)</f>
        <v>0</v>
      </c>
      <c r="N21" s="72" t="n">
        <f aca="false">IFERROR(D21 / I21,0)</f>
        <v>0</v>
      </c>
      <c r="O21" s="73" t="n">
        <f aca="false">IFERROR(E21 / J21,0)</f>
        <v>0</v>
      </c>
      <c r="P21" s="63"/>
      <c r="Q21" s="74" t="s">
        <v>45</v>
      </c>
      <c r="R21" s="74"/>
      <c r="S21" s="75" t="n">
        <f aca="false">SUM(B12,D12,F12,H12,J12,L12,N12,P12,R12,T12)</f>
        <v>0</v>
      </c>
    </row>
    <row r="22" customFormat="false" ht="15" hidden="false" customHeight="true" outlineLevel="0" collapsed="false">
      <c r="A22" s="77"/>
      <c r="B22" s="78"/>
      <c r="C22" s="79"/>
      <c r="D22" s="79"/>
      <c r="E22" s="79"/>
      <c r="F22" s="80"/>
      <c r="G22" s="78"/>
      <c r="H22" s="79"/>
      <c r="I22" s="79"/>
      <c r="J22" s="79"/>
      <c r="K22" s="80"/>
      <c r="L22" s="78"/>
      <c r="M22" s="79"/>
      <c r="N22" s="79"/>
      <c r="O22" s="79"/>
      <c r="P22" s="80"/>
      <c r="Q22" s="74" t="s">
        <v>46</v>
      </c>
      <c r="R22" s="74"/>
      <c r="S22" s="81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2" t="s">
        <v>47</v>
      </c>
      <c r="D24" s="42"/>
      <c r="E24" s="42"/>
      <c r="F24" s="19"/>
      <c r="G24" s="18"/>
      <c r="H24" s="43" t="s">
        <v>48</v>
      </c>
      <c r="I24" s="43"/>
      <c r="J24" s="43"/>
      <c r="K24" s="19"/>
      <c r="L24" s="19"/>
      <c r="M24" s="42" t="s">
        <v>39</v>
      </c>
      <c r="N24" s="42"/>
      <c r="O24" s="42"/>
      <c r="P24" s="19"/>
      <c r="Q24" s="19"/>
      <c r="R24" s="19"/>
      <c r="S24" s="19"/>
    </row>
    <row r="25" customFormat="false" ht="15" hidden="false" customHeight="true" outlineLevel="0" collapsed="false">
      <c r="A25" s="44" t="s">
        <v>49</v>
      </c>
      <c r="B25" s="49"/>
      <c r="C25" s="50"/>
      <c r="D25" s="50"/>
      <c r="E25" s="46"/>
      <c r="F25" s="51"/>
      <c r="G25" s="49"/>
      <c r="H25" s="50"/>
      <c r="I25" s="50"/>
      <c r="J25" s="46"/>
      <c r="K25" s="51"/>
      <c r="L25" s="49"/>
      <c r="M25" s="50"/>
      <c r="N25" s="50"/>
      <c r="O25" s="46"/>
      <c r="P25" s="51"/>
      <c r="Q25" s="52" t="s">
        <v>50</v>
      </c>
      <c r="R25" s="52"/>
      <c r="S25" s="52"/>
    </row>
    <row r="26" customFormat="false" ht="15" hidden="false" customHeight="true" outlineLevel="0" collapsed="false">
      <c r="A26" s="56"/>
      <c r="B26" s="62"/>
      <c r="C26" s="58" t="n">
        <v>0</v>
      </c>
      <c r="D26" s="59" t="n">
        <v>0</v>
      </c>
      <c r="E26" s="60" t="n">
        <v>0</v>
      </c>
      <c r="F26" s="63"/>
      <c r="G26" s="62"/>
      <c r="H26" s="58" t="n">
        <v>0</v>
      </c>
      <c r="I26" s="59" t="n">
        <v>0</v>
      </c>
      <c r="J26" s="60" t="n">
        <v>0</v>
      </c>
      <c r="K26" s="63"/>
      <c r="L26" s="62"/>
      <c r="M26" s="64" t="n">
        <f aca="false">IFERROR(C26 / H26,0)</f>
        <v>0</v>
      </c>
      <c r="N26" s="65" t="n">
        <f aca="false">IFERROR(D26 / I26,0)</f>
        <v>0</v>
      </c>
      <c r="O26" s="66" t="n">
        <f aca="false">IFERROR(E26 / J26,0)</f>
        <v>0</v>
      </c>
      <c r="P26" s="63"/>
      <c r="Q26" s="52"/>
      <c r="R26" s="52"/>
      <c r="S26" s="52"/>
    </row>
    <row r="27" customFormat="false" ht="15" hidden="false" customHeight="true" outlineLevel="0" collapsed="false">
      <c r="A27" s="56"/>
      <c r="B27" s="62"/>
      <c r="C27" s="68" t="n">
        <v>0</v>
      </c>
      <c r="D27" s="69" t="n">
        <v>0</v>
      </c>
      <c r="E27" s="70" t="n">
        <v>0</v>
      </c>
      <c r="F27" s="63"/>
      <c r="G27" s="62"/>
      <c r="H27" s="68" t="n">
        <v>0</v>
      </c>
      <c r="I27" s="69" t="n">
        <v>0</v>
      </c>
      <c r="J27" s="70" t="n">
        <v>0</v>
      </c>
      <c r="K27" s="63"/>
      <c r="L27" s="62"/>
      <c r="M27" s="71" t="n">
        <f aca="false">IFERROR(C27 / H27,0)</f>
        <v>0</v>
      </c>
      <c r="N27" s="72" t="n">
        <f aca="false">IFERROR(D27 / I27,0)</f>
        <v>0</v>
      </c>
      <c r="O27" s="73" t="n">
        <f aca="false">IFERROR(E27 / J27,0)</f>
        <v>0</v>
      </c>
      <c r="P27" s="63"/>
      <c r="Q27" s="74" t="s">
        <v>44</v>
      </c>
      <c r="R27" s="74"/>
      <c r="S27" s="75" t="n">
        <f aca="false">SUM(C13,E13,G13,I13,K13,M13,O13,Q13,S13,U13)</f>
        <v>0</v>
      </c>
    </row>
    <row r="28" customFormat="false" ht="15" hidden="false" customHeight="true" outlineLevel="0" collapsed="false">
      <c r="A28" s="56"/>
      <c r="B28" s="62"/>
      <c r="C28" s="68" t="n">
        <v>0</v>
      </c>
      <c r="D28" s="76" t="n">
        <v>0</v>
      </c>
      <c r="E28" s="70" t="n">
        <v>0</v>
      </c>
      <c r="F28" s="63"/>
      <c r="G28" s="62"/>
      <c r="H28" s="68" t="n">
        <v>0</v>
      </c>
      <c r="I28" s="76" t="n">
        <v>0</v>
      </c>
      <c r="J28" s="70" t="n">
        <v>0</v>
      </c>
      <c r="K28" s="63"/>
      <c r="L28" s="62"/>
      <c r="M28" s="71" t="n">
        <f aca="false">IFERROR(C28 / H28,0)</f>
        <v>0</v>
      </c>
      <c r="N28" s="72" t="n">
        <f aca="false">IFERROR(D28 / I28,0)</f>
        <v>0</v>
      </c>
      <c r="O28" s="73" t="n">
        <f aca="false">IFERROR(E28 / J28,0)</f>
        <v>0</v>
      </c>
      <c r="P28" s="63"/>
      <c r="Q28" s="74" t="s">
        <v>45</v>
      </c>
      <c r="R28" s="74"/>
      <c r="S28" s="75" t="n">
        <f aca="false">SUM(C12,E12,G12,I12,K12,M12,O12,Q12,S12,U12)</f>
        <v>0</v>
      </c>
    </row>
    <row r="29" customFormat="false" ht="15" hidden="false" customHeight="true" outlineLevel="0" collapsed="false">
      <c r="A29" s="77"/>
      <c r="B29" s="78"/>
      <c r="C29" s="79"/>
      <c r="D29" s="79"/>
      <c r="E29" s="79"/>
      <c r="F29" s="80"/>
      <c r="G29" s="78"/>
      <c r="H29" s="79"/>
      <c r="I29" s="79"/>
      <c r="J29" s="79"/>
      <c r="K29" s="80"/>
      <c r="L29" s="78"/>
      <c r="M29" s="79"/>
      <c r="N29" s="79"/>
      <c r="O29" s="79"/>
      <c r="P29" s="80"/>
      <c r="Q29" s="74" t="s">
        <v>46</v>
      </c>
      <c r="R29" s="74"/>
      <c r="S29" s="81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82"/>
      <c r="D31" s="83"/>
      <c r="E31" s="82"/>
      <c r="F31" s="82"/>
      <c r="G31" s="83"/>
      <c r="H31" s="82"/>
      <c r="I31" s="82"/>
      <c r="J31" s="83"/>
      <c r="K31" s="82"/>
      <c r="L31" s="82"/>
      <c r="M31" s="83"/>
      <c r="N31" s="82"/>
      <c r="O31" s="82"/>
      <c r="P31" s="83"/>
      <c r="Q31" s="82"/>
    </row>
    <row r="32" customFormat="false" ht="15" hidden="false" customHeight="true" outlineLevel="0" collapsed="false">
      <c r="A32" s="84" t="s">
        <v>51</v>
      </c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82"/>
      <c r="N32" s="82"/>
      <c r="O32" s="82"/>
      <c r="P32" s="82"/>
      <c r="Q32" s="82"/>
    </row>
    <row r="33" customFormat="false" ht="15" hidden="false" customHeight="true" outlineLevel="0" collapsed="false">
      <c r="A33" s="85" t="s">
        <v>52</v>
      </c>
      <c r="B33" s="86" t="s">
        <v>53</v>
      </c>
      <c r="C33" s="86"/>
      <c r="D33" s="87" t="s">
        <v>54</v>
      </c>
      <c r="E33" s="87"/>
      <c r="F33" s="87" t="s">
        <v>55</v>
      </c>
      <c r="G33" s="87"/>
      <c r="H33" s="88" t="s">
        <v>56</v>
      </c>
      <c r="I33" s="88"/>
      <c r="J33" s="89" t="s">
        <v>57</v>
      </c>
      <c r="K33" s="89"/>
      <c r="L33" s="39"/>
      <c r="M33" s="82"/>
      <c r="N33" s="82"/>
      <c r="O33" s="82"/>
      <c r="P33" s="82"/>
      <c r="Q33" s="82"/>
    </row>
    <row r="34" customFormat="false" ht="14.25" hidden="false" customHeight="true" outlineLevel="0" collapsed="false">
      <c r="A34" s="90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39"/>
    </row>
    <row r="35" customFormat="false" ht="14.25" hidden="false" customHeight="true" outlineLevel="0" collapsed="false">
      <c r="A35" s="90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39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90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39"/>
      <c r="O36" s="42"/>
      <c r="P36" s="42"/>
      <c r="Q36" s="42"/>
      <c r="R36" s="91"/>
    </row>
    <row r="37" customFormat="false" ht="15" hidden="false" customHeight="true" outlineLevel="0" collapsed="false">
      <c r="A37" s="92" t="s">
        <v>22</v>
      </c>
      <c r="B37" s="93" t="n">
        <f aca="false">IFERROR(B36 / B35,0)</f>
        <v>0</v>
      </c>
      <c r="C37" s="94" t="n">
        <f aca="false">IFERROR(C36 / C35,0)</f>
        <v>0</v>
      </c>
      <c r="D37" s="93" t="n">
        <f aca="false">IFERROR(D36 / D35,0)</f>
        <v>0</v>
      </c>
      <c r="E37" s="95" t="n">
        <f aca="false">IFERROR(E36 / E35,0)</f>
        <v>0</v>
      </c>
      <c r="F37" s="94" t="n">
        <f aca="false">IFERROR(F36 / F35,0)</f>
        <v>0</v>
      </c>
      <c r="G37" s="94" t="n">
        <f aca="false">IFERROR(G36 / G35,0)</f>
        <v>0</v>
      </c>
      <c r="H37" s="93" t="n">
        <f aca="false">IFERROR(H36 / H35,0)</f>
        <v>0</v>
      </c>
      <c r="I37" s="95" t="n">
        <f aca="false">IFERROR(I36 / I35,0)</f>
        <v>0</v>
      </c>
      <c r="J37" s="94" t="n">
        <f aca="false">IFERROR(J36 / J35,0)</f>
        <v>0</v>
      </c>
      <c r="K37" s="95" t="n">
        <f aca="false">IFERROR(K36 / K35,0)</f>
        <v>0</v>
      </c>
      <c r="L37" s="39"/>
      <c r="M37" s="83"/>
      <c r="N37" s="82"/>
      <c r="O37" s="82"/>
      <c r="P37" s="83"/>
      <c r="Q37" s="82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5" t="s">
        <v>58</v>
      </c>
      <c r="B38" s="14"/>
      <c r="C38" s="14"/>
      <c r="D38" s="96" t="n">
        <f aca="false">O1</f>
        <v>0</v>
      </c>
      <c r="E38" s="14"/>
      <c r="F38" s="14"/>
      <c r="G38" s="96" t="n">
        <f aca="false">Q1</f>
        <v>0</v>
      </c>
      <c r="H38" s="14"/>
      <c r="I38" s="14"/>
      <c r="J38" s="14"/>
      <c r="K38" s="14"/>
      <c r="L38" s="39"/>
      <c r="M38" s="82"/>
      <c r="N38" s="82"/>
      <c r="O38" s="82"/>
      <c r="P38" s="82"/>
      <c r="Q38" s="82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92" t="s">
        <v>59</v>
      </c>
      <c r="B39" s="14"/>
      <c r="C39" s="14"/>
      <c r="D39" s="97" t="n">
        <f aca="false">IFERROR(D35 / D38,0)</f>
        <v>0</v>
      </c>
      <c r="E39" s="14"/>
      <c r="F39" s="14"/>
      <c r="G39" s="97" t="n">
        <f aca="false">IFERROR(G35 / G38,0)</f>
        <v>0</v>
      </c>
      <c r="H39" s="13"/>
      <c r="I39" s="98"/>
      <c r="J39" s="98"/>
      <c r="K39" s="13"/>
      <c r="M39" s="82"/>
      <c r="N39" s="82"/>
      <c r="O39" s="82"/>
      <c r="P39" s="82"/>
      <c r="Q39" s="82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9"/>
      <c r="U41" s="99"/>
      <c r="V41" s="99"/>
      <c r="W41" s="99"/>
      <c r="X41" s="99"/>
      <c r="Y41" s="99"/>
      <c r="Z41" s="99"/>
      <c r="AA41" s="99"/>
      <c r="AB41" s="99"/>
      <c r="AC41" s="99"/>
      <c r="AD41" s="99"/>
      <c r="AE41" s="99"/>
      <c r="AF41" s="19"/>
      <c r="AG41" s="99"/>
      <c r="AH41" s="99"/>
      <c r="AI41" s="99"/>
      <c r="AJ41" s="99"/>
      <c r="AK41" s="99"/>
      <c r="AL41" s="99"/>
      <c r="AM41" s="99"/>
      <c r="AN41" s="99"/>
      <c r="AO41" s="99"/>
      <c r="AP41" s="99"/>
      <c r="AQ41" s="99"/>
      <c r="AR41" s="99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100" t="str">
        <f aca="false">IFERROR(C66 / D66, "")</f>
        <v/>
      </c>
      <c r="F66" s="19"/>
      <c r="G66" s="19"/>
      <c r="I66" s="19"/>
      <c r="J66" s="19"/>
      <c r="K66" s="100" t="str">
        <f aca="false">IFERROR(I66 / J66, "")</f>
        <v/>
      </c>
      <c r="L66" s="19"/>
      <c r="M66" s="19"/>
      <c r="O66" s="19"/>
      <c r="P66" s="19"/>
      <c r="Q66" s="100" t="str">
        <f aca="false">IFERROR(O66 / P66, "")</f>
        <v/>
      </c>
      <c r="R66" s="19"/>
      <c r="S66" s="19"/>
      <c r="U66" s="19"/>
      <c r="V66" s="19"/>
      <c r="W66" s="100" t="str">
        <f aca="false">IFERROR(U66 / V66, "")</f>
        <v/>
      </c>
      <c r="X66" s="19"/>
      <c r="Z66" s="19"/>
      <c r="AA66" s="19"/>
      <c r="AB66" s="100" t="str">
        <f aca="false">IFERROR(Z66 / AA66, "")</f>
        <v/>
      </c>
      <c r="AC66" s="19"/>
      <c r="AE66" s="19"/>
      <c r="AF66" s="19"/>
      <c r="AG66" s="100" t="str">
        <f aca="false">IFERROR(AE66 / AF66, "")</f>
        <v/>
      </c>
      <c r="AH66" s="19"/>
      <c r="AJ66" s="19"/>
      <c r="AK66" s="19"/>
      <c r="AL66" s="100" t="str">
        <f aca="false">IFERROR(AJ66 / AK66, "")</f>
        <v/>
      </c>
      <c r="AM66" s="19"/>
      <c r="AO66" s="19"/>
      <c r="AP66" s="19"/>
      <c r="AQ66" s="100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50">
    <mergeCell ref="C1:E1"/>
    <mergeCell ref="G1:I1"/>
    <mergeCell ref="J1:L1"/>
    <mergeCell ref="M1:N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V10:W10"/>
    <mergeCell ref="C17:E17"/>
    <mergeCell ref="H17:J17"/>
    <mergeCell ref="M17:O17"/>
    <mergeCell ref="Q18:S19"/>
    <mergeCell ref="T18:W19"/>
    <mergeCell ref="X18:Y18"/>
    <mergeCell ref="Z18:AC19"/>
    <mergeCell ref="X19:Y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2026-02-16T21:12:45Z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